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Duan Xiaojun\Desktop\"/>
    </mc:Choice>
  </mc:AlternateContent>
  <xr:revisionPtr revIDLastSave="0" documentId="13_ncr:1_{1A41A01C-375B-488F-82AD-00E315C1EB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I33" i="1" l="1"/>
  <c r="I32" i="1"/>
  <c r="I31" i="1"/>
  <c r="I30" i="1"/>
  <c r="I29" i="1"/>
  <c r="I26" i="1"/>
  <c r="H21" i="1"/>
  <c r="I20" i="1" l="1"/>
  <c r="I19" i="1"/>
  <c r="I7" i="1"/>
  <c r="I18" i="1"/>
  <c r="I16" i="1"/>
  <c r="I15" i="1"/>
  <c r="I14" i="1"/>
  <c r="I13" i="1"/>
  <c r="I23" i="1"/>
  <c r="I22" i="1"/>
  <c r="I17" i="1"/>
  <c r="I11" i="1"/>
  <c r="I10" i="1"/>
  <c r="I5" i="1"/>
  <c r="I4" i="1"/>
  <c r="I3" i="1"/>
  <c r="I2" i="1"/>
  <c r="I9" i="1" l="1"/>
  <c r="I12" i="1"/>
  <c r="I6" i="1"/>
  <c r="I28" i="1" l="1"/>
  <c r="I27" i="1"/>
  <c r="I25" i="1"/>
  <c r="I24" i="1"/>
</calcChain>
</file>

<file path=xl/sharedStrings.xml><?xml version="1.0" encoding="utf-8"?>
<sst xmlns="http://schemas.openxmlformats.org/spreadsheetml/2006/main" count="202" uniqueCount="56">
  <si>
    <t>任务名称</t>
  </si>
  <si>
    <r>
      <rPr>
        <sz val="10"/>
        <rFont val="微软雅黑"/>
        <family val="2"/>
        <charset val="134"/>
      </rPr>
      <t>成本要素组</t>
    </r>
    <r>
      <rPr>
        <sz val="10"/>
        <rFont val="Arial"/>
        <family val="2"/>
      </rPr>
      <t>-1</t>
    </r>
    <r>
      <rPr>
        <sz val="10"/>
        <rFont val="微软雅黑"/>
        <family val="2"/>
        <charset val="134"/>
      </rPr>
      <t>级名称</t>
    </r>
  </si>
  <si>
    <r>
      <rPr>
        <sz val="10"/>
        <rFont val="微软雅黑"/>
        <family val="2"/>
        <charset val="134"/>
      </rPr>
      <t>成本要素组</t>
    </r>
    <r>
      <rPr>
        <sz val="10"/>
        <rFont val="Arial"/>
        <family val="2"/>
      </rPr>
      <t>-2</t>
    </r>
    <r>
      <rPr>
        <sz val="10"/>
        <rFont val="微软雅黑"/>
        <family val="2"/>
        <charset val="134"/>
      </rPr>
      <t>级名称</t>
    </r>
  </si>
  <si>
    <r>
      <rPr>
        <sz val="10"/>
        <rFont val="微软雅黑"/>
        <family val="2"/>
        <charset val="134"/>
      </rPr>
      <t>成本要素组</t>
    </r>
    <r>
      <rPr>
        <sz val="10"/>
        <rFont val="Arial"/>
        <family val="2"/>
      </rPr>
      <t>-3</t>
    </r>
    <r>
      <rPr>
        <sz val="10"/>
        <rFont val="微软雅黑"/>
        <family val="2"/>
        <charset val="134"/>
      </rPr>
      <t>级名称</t>
    </r>
  </si>
  <si>
    <r>
      <rPr>
        <sz val="10"/>
        <rFont val="微软雅黑"/>
        <family val="2"/>
        <charset val="134"/>
      </rPr>
      <t>成本计划细分项</t>
    </r>
    <r>
      <rPr>
        <sz val="10"/>
        <rFont val="Arial"/>
        <family val="2"/>
      </rPr>
      <t>-4</t>
    </r>
    <r>
      <rPr>
        <sz val="10"/>
        <rFont val="微软雅黑"/>
        <family val="2"/>
        <charset val="134"/>
      </rPr>
      <t>级名称</t>
    </r>
  </si>
  <si>
    <t>单位</t>
  </si>
  <si>
    <t>单价</t>
  </si>
  <si>
    <t>数量</t>
  </si>
  <si>
    <t>总成本</t>
  </si>
  <si>
    <t>总收入</t>
  </si>
  <si>
    <t>钻机动迁</t>
  </si>
  <si>
    <t>项目直接成本</t>
  </si>
  <si>
    <t/>
  </si>
  <si>
    <t>服务费</t>
  </si>
  <si>
    <t>材料费</t>
  </si>
  <si>
    <t>项目间接成本</t>
  </si>
  <si>
    <t>项目直接成本</t>
    <phoneticPr fontId="6" type="noConversion"/>
  </si>
  <si>
    <t>人工费</t>
    <phoneticPr fontId="6" type="noConversion"/>
  </si>
  <si>
    <t>次</t>
    <phoneticPr fontId="6" type="noConversion"/>
  </si>
  <si>
    <t>日</t>
    <phoneticPr fontId="6" type="noConversion"/>
  </si>
  <si>
    <t>月</t>
    <phoneticPr fontId="6" type="noConversion"/>
  </si>
  <si>
    <r>
      <rPr>
        <sz val="10"/>
        <rFont val="微软雅黑"/>
        <family val="2"/>
        <charset val="134"/>
      </rPr>
      <t>项目直接成本</t>
    </r>
    <r>
      <rPr>
        <sz val="10"/>
        <rFont val="Arial"/>
        <family val="2"/>
      </rPr>
      <t>-</t>
    </r>
    <r>
      <rPr>
        <sz val="10"/>
        <rFont val="宋体"/>
        <family val="2"/>
        <charset val="134"/>
      </rPr>
      <t>服务费</t>
    </r>
    <r>
      <rPr>
        <sz val="10"/>
        <rFont val="Arial"/>
        <family val="2"/>
      </rPr>
      <t>-HSE</t>
    </r>
    <r>
      <rPr>
        <sz val="10"/>
        <rFont val="宋体"/>
        <family val="2"/>
        <charset val="134"/>
      </rPr>
      <t>费用</t>
    </r>
    <phoneticPr fontId="6" type="noConversion"/>
  </si>
  <si>
    <t>动迁</t>
    <phoneticPr fontId="6" type="noConversion"/>
  </si>
  <si>
    <r>
      <rPr>
        <sz val="10"/>
        <rFont val="微软雅黑"/>
        <family val="2"/>
        <charset val="134"/>
      </rPr>
      <t>项目直接成本</t>
    </r>
    <r>
      <rPr>
        <sz val="10"/>
        <rFont val="Arial"/>
        <family val="2"/>
      </rPr>
      <t>-</t>
    </r>
    <r>
      <rPr>
        <sz val="10"/>
        <rFont val="微软雅黑"/>
        <family val="2"/>
        <charset val="134"/>
      </rPr>
      <t>服务费</t>
    </r>
    <r>
      <rPr>
        <sz val="10"/>
        <rFont val="Arial"/>
        <family val="2"/>
      </rPr>
      <t>-</t>
    </r>
    <r>
      <rPr>
        <sz val="10"/>
        <rFont val="宋体"/>
        <family val="2"/>
        <charset val="134"/>
      </rPr>
      <t>动迁搬家</t>
    </r>
    <phoneticPr fontId="6" type="noConversion"/>
  </si>
  <si>
    <r>
      <rPr>
        <sz val="10"/>
        <rFont val="微软雅黑"/>
        <family val="2"/>
        <charset val="134"/>
      </rPr>
      <t>项目间接成本</t>
    </r>
    <r>
      <rPr>
        <sz val="10"/>
        <rFont val="Arial"/>
        <family val="2"/>
      </rPr>
      <t>-</t>
    </r>
    <r>
      <rPr>
        <sz val="10"/>
        <rFont val="微软雅黑"/>
        <family val="2"/>
        <charset val="134"/>
      </rPr>
      <t>分摊费用</t>
    </r>
    <phoneticPr fontId="6" type="noConversion"/>
  </si>
  <si>
    <r>
      <rPr>
        <sz val="10"/>
        <rFont val="微软雅黑"/>
        <family val="2"/>
        <charset val="134"/>
      </rPr>
      <t>项目间接成本</t>
    </r>
    <r>
      <rPr>
        <sz val="10"/>
        <rFont val="Arial"/>
        <family val="2"/>
      </rPr>
      <t>-</t>
    </r>
    <r>
      <rPr>
        <sz val="10"/>
        <rFont val="微软雅黑"/>
        <family val="2"/>
        <charset val="134"/>
      </rPr>
      <t>分摊费用</t>
    </r>
    <r>
      <rPr>
        <sz val="10"/>
        <rFont val="Arial"/>
        <family val="2"/>
      </rPr>
      <t>-</t>
    </r>
    <r>
      <rPr>
        <sz val="10"/>
        <rFont val="宋体"/>
        <family val="2"/>
        <charset val="134"/>
      </rPr>
      <t>设备折旧</t>
    </r>
    <phoneticPr fontId="6" type="noConversion"/>
  </si>
  <si>
    <t>设备折旧</t>
    <phoneticPr fontId="6" type="noConversion"/>
  </si>
  <si>
    <t>NNKB-009</t>
  </si>
  <si>
    <r>
      <rPr>
        <sz val="10"/>
        <rFont val="微软雅黑"/>
        <family val="2"/>
        <charset val="134"/>
      </rPr>
      <t>项目直接成本</t>
    </r>
    <r>
      <rPr>
        <sz val="10"/>
        <rFont val="Arial"/>
        <family val="2"/>
      </rPr>
      <t>-</t>
    </r>
    <r>
      <rPr>
        <sz val="10"/>
        <rFont val="微软雅黑"/>
        <family val="2"/>
        <charset val="134"/>
      </rPr>
      <t>服务费</t>
    </r>
    <r>
      <rPr>
        <sz val="10"/>
        <rFont val="Arial"/>
        <family val="2"/>
      </rPr>
      <t>-</t>
    </r>
    <r>
      <rPr>
        <sz val="10"/>
        <rFont val="宋体"/>
        <family val="2"/>
        <charset val="134"/>
      </rPr>
      <t>人工费</t>
    </r>
    <phoneticPr fontId="6" type="noConversion"/>
  </si>
  <si>
    <r>
      <rPr>
        <sz val="10"/>
        <rFont val="微软雅黑"/>
        <family val="2"/>
        <charset val="134"/>
      </rPr>
      <t>项目直接成本</t>
    </r>
    <r>
      <rPr>
        <sz val="10"/>
        <rFont val="Arial"/>
        <family val="2"/>
      </rPr>
      <t>-</t>
    </r>
    <r>
      <rPr>
        <sz val="10"/>
        <rFont val="微软雅黑"/>
        <family val="2"/>
        <charset val="134"/>
      </rPr>
      <t>服务费</t>
    </r>
    <r>
      <rPr>
        <sz val="10"/>
        <rFont val="Arial"/>
        <family val="2"/>
      </rPr>
      <t>-</t>
    </r>
    <r>
      <rPr>
        <sz val="10"/>
        <rFont val="宋体"/>
        <family val="2"/>
        <charset val="134"/>
      </rPr>
      <t>生产及生活车辆</t>
    </r>
    <phoneticPr fontId="6" type="noConversion"/>
  </si>
  <si>
    <t>真空排污车、油罐车、皮卡及中巴</t>
    <phoneticPr fontId="6" type="noConversion"/>
  </si>
  <si>
    <r>
      <rPr>
        <sz val="10"/>
        <rFont val="微软雅黑"/>
        <family val="2"/>
        <charset val="134"/>
      </rPr>
      <t>项目直接成本</t>
    </r>
    <r>
      <rPr>
        <sz val="10"/>
        <rFont val="Arial"/>
        <family val="2"/>
      </rPr>
      <t>-</t>
    </r>
    <r>
      <rPr>
        <sz val="10"/>
        <rFont val="微软雅黑"/>
        <family val="2"/>
        <charset val="134"/>
      </rPr>
      <t>服务费</t>
    </r>
    <r>
      <rPr>
        <sz val="10"/>
        <rFont val="Arial"/>
        <family val="2"/>
      </rPr>
      <t>-</t>
    </r>
    <r>
      <rPr>
        <sz val="10"/>
        <rFont val="宋体"/>
        <family val="2"/>
        <charset val="134"/>
      </rPr>
      <t>生活餐饮费用</t>
    </r>
    <phoneticPr fontId="6" type="noConversion"/>
  </si>
  <si>
    <r>
      <rPr>
        <sz val="10"/>
        <rFont val="微软雅黑"/>
        <family val="2"/>
        <charset val="134"/>
      </rPr>
      <t>项目直接成本</t>
    </r>
    <r>
      <rPr>
        <sz val="10"/>
        <rFont val="Arial"/>
        <family val="2"/>
      </rPr>
      <t>-</t>
    </r>
    <r>
      <rPr>
        <sz val="10"/>
        <rFont val="微软雅黑"/>
        <family val="2"/>
        <charset val="134"/>
      </rPr>
      <t>服务费</t>
    </r>
    <r>
      <rPr>
        <sz val="10"/>
        <rFont val="Arial"/>
        <family val="2"/>
      </rPr>
      <t>-</t>
    </r>
    <r>
      <rPr>
        <sz val="10"/>
        <rFont val="宋体"/>
        <family val="2"/>
        <charset val="134"/>
      </rPr>
      <t>设备检验及修理</t>
    </r>
    <phoneticPr fontId="6" type="noConversion"/>
  </si>
  <si>
    <r>
      <rPr>
        <sz val="10"/>
        <rFont val="微软雅黑"/>
        <family val="2"/>
        <charset val="134"/>
      </rPr>
      <t>项目直接成本</t>
    </r>
    <r>
      <rPr>
        <sz val="10"/>
        <rFont val="Arial"/>
        <family val="2"/>
      </rPr>
      <t>-</t>
    </r>
    <r>
      <rPr>
        <sz val="10"/>
        <rFont val="宋体"/>
        <family val="2"/>
        <charset val="134"/>
      </rPr>
      <t>服务费</t>
    </r>
    <r>
      <rPr>
        <sz val="10"/>
        <rFont val="Arial"/>
        <family val="2"/>
      </rPr>
      <t>-</t>
    </r>
    <r>
      <rPr>
        <sz val="10"/>
        <rFont val="宋体"/>
        <family val="2"/>
        <charset val="134"/>
      </rPr>
      <t>办公费用</t>
    </r>
    <phoneticPr fontId="6" type="noConversion"/>
  </si>
  <si>
    <t>办公用品、网络、卫星电视</t>
    <phoneticPr fontId="6" type="noConversion"/>
  </si>
  <si>
    <r>
      <rPr>
        <sz val="10"/>
        <rFont val="微软雅黑"/>
        <family val="2"/>
        <charset val="134"/>
      </rPr>
      <t>项目直接成本</t>
    </r>
    <r>
      <rPr>
        <sz val="10"/>
        <rFont val="Arial"/>
        <family val="2"/>
      </rPr>
      <t>-</t>
    </r>
    <r>
      <rPr>
        <sz val="10"/>
        <rFont val="宋体"/>
        <family val="2"/>
        <charset val="134"/>
      </rPr>
      <t>材料费</t>
    </r>
    <r>
      <rPr>
        <sz val="10"/>
        <rFont val="Arial"/>
        <family val="2"/>
        <charset val="134"/>
      </rPr>
      <t>-</t>
    </r>
    <r>
      <rPr>
        <sz val="10"/>
        <rFont val="宋体"/>
        <family val="2"/>
        <charset val="134"/>
      </rPr>
      <t>机组日常材料消耗</t>
    </r>
    <phoneticPr fontId="6" type="noConversion"/>
  </si>
  <si>
    <t>垃圾处理、污水处理、环境检测</t>
    <phoneticPr fontId="6" type="noConversion"/>
  </si>
  <si>
    <r>
      <rPr>
        <sz val="10"/>
        <rFont val="微软雅黑"/>
        <family val="2"/>
        <charset val="134"/>
      </rPr>
      <t>项目直接成本</t>
    </r>
    <r>
      <rPr>
        <sz val="10"/>
        <rFont val="Arial"/>
        <family val="2"/>
      </rPr>
      <t>-</t>
    </r>
    <r>
      <rPr>
        <sz val="10"/>
        <rFont val="微软雅黑"/>
        <family val="2"/>
        <charset val="134"/>
      </rPr>
      <t>材料费</t>
    </r>
    <r>
      <rPr>
        <sz val="10"/>
        <rFont val="Arial"/>
        <family val="2"/>
      </rPr>
      <t>-</t>
    </r>
    <r>
      <rPr>
        <sz val="10"/>
        <rFont val="宋体"/>
        <family val="2"/>
        <charset val="134"/>
      </rPr>
      <t>柴油</t>
    </r>
    <phoneticPr fontId="6" type="noConversion"/>
  </si>
  <si>
    <t>项目间接成本</t>
    <phoneticPr fontId="6" type="noConversion"/>
  </si>
  <si>
    <r>
      <rPr>
        <sz val="10"/>
        <rFont val="微软雅黑"/>
        <family val="2"/>
        <charset val="134"/>
      </rPr>
      <t>项目直接成本</t>
    </r>
    <r>
      <rPr>
        <sz val="10"/>
        <rFont val="Arial"/>
        <family val="2"/>
      </rPr>
      <t>-</t>
    </r>
    <r>
      <rPr>
        <sz val="10"/>
        <rFont val="宋体"/>
        <family val="2"/>
        <charset val="134"/>
      </rPr>
      <t>税费及保函费</t>
    </r>
    <phoneticPr fontId="6" type="noConversion"/>
  </si>
  <si>
    <r>
      <rPr>
        <sz val="10"/>
        <rFont val="微软雅黑"/>
        <family val="2"/>
        <charset val="134"/>
      </rPr>
      <t>项目直接成本</t>
    </r>
    <r>
      <rPr>
        <sz val="10"/>
        <rFont val="Arial"/>
        <family val="2"/>
      </rPr>
      <t>-</t>
    </r>
    <r>
      <rPr>
        <sz val="10"/>
        <rFont val="宋体"/>
        <family val="2"/>
        <charset val="134"/>
      </rPr>
      <t>材料费</t>
    </r>
    <r>
      <rPr>
        <sz val="10"/>
        <rFont val="Arial"/>
        <family val="2"/>
        <charset val="134"/>
      </rPr>
      <t>-</t>
    </r>
    <r>
      <rPr>
        <sz val="10"/>
        <rFont val="宋体"/>
        <family val="2"/>
        <charset val="134"/>
      </rPr>
      <t>日常材料消耗</t>
    </r>
    <phoneticPr fontId="6" type="noConversion"/>
  </si>
  <si>
    <t>甲方报销</t>
    <phoneticPr fontId="6" type="noConversion"/>
  </si>
  <si>
    <r>
      <rPr>
        <sz val="10"/>
        <rFont val="微软雅黑"/>
        <family val="2"/>
        <charset val="134"/>
      </rPr>
      <t>项目直接成本</t>
    </r>
    <r>
      <rPr>
        <sz val="10"/>
        <rFont val="Arial"/>
        <family val="2"/>
      </rPr>
      <t>-</t>
    </r>
    <r>
      <rPr>
        <sz val="10"/>
        <rFont val="微软雅黑"/>
        <family val="2"/>
        <charset val="134"/>
      </rPr>
      <t>服务费</t>
    </r>
    <r>
      <rPr>
        <sz val="10"/>
        <rFont val="Arial"/>
        <family val="2"/>
      </rPr>
      <t>-</t>
    </r>
    <r>
      <rPr>
        <sz val="10"/>
        <rFont val="宋体"/>
        <family val="2"/>
        <charset val="134"/>
      </rPr>
      <t>马丁钻井参数仪</t>
    </r>
    <phoneticPr fontId="6" type="noConversion"/>
  </si>
  <si>
    <t>井次</t>
    <phoneticPr fontId="6" type="noConversion"/>
  </si>
  <si>
    <r>
      <rPr>
        <sz val="10"/>
        <rFont val="微软雅黑"/>
        <family val="2"/>
        <charset val="134"/>
      </rPr>
      <t>项目直接成本</t>
    </r>
    <r>
      <rPr>
        <sz val="10"/>
        <rFont val="Arial"/>
        <family val="2"/>
      </rPr>
      <t>-</t>
    </r>
    <r>
      <rPr>
        <sz val="10"/>
        <rFont val="宋体"/>
        <family val="2"/>
        <charset val="134"/>
      </rPr>
      <t>服务费</t>
    </r>
    <r>
      <rPr>
        <sz val="10"/>
        <rFont val="Arial"/>
        <family val="2"/>
      </rPr>
      <t>-</t>
    </r>
    <r>
      <rPr>
        <sz val="10"/>
        <rFont val="微软雅黑"/>
        <family val="2"/>
        <charset val="134"/>
      </rPr>
      <t>自有泥浆服务</t>
    </r>
    <phoneticPr fontId="6" type="noConversion"/>
  </si>
  <si>
    <r>
      <rPr>
        <sz val="10"/>
        <rFont val="微软雅黑"/>
        <family val="2"/>
        <charset val="134"/>
      </rPr>
      <t>项目直接成本</t>
    </r>
    <r>
      <rPr>
        <sz val="10"/>
        <rFont val="Arial"/>
        <family val="2"/>
      </rPr>
      <t>-</t>
    </r>
    <r>
      <rPr>
        <sz val="10"/>
        <rFont val="宋体"/>
        <family val="2"/>
        <charset val="134"/>
      </rPr>
      <t>服务费</t>
    </r>
    <r>
      <rPr>
        <sz val="10"/>
        <rFont val="Arial"/>
        <family val="2"/>
      </rPr>
      <t>-</t>
    </r>
    <r>
      <rPr>
        <sz val="10"/>
        <rFont val="微软雅黑"/>
        <family val="2"/>
        <charset val="134"/>
      </rPr>
      <t>自有固井服务</t>
    </r>
    <phoneticPr fontId="6" type="noConversion"/>
  </si>
  <si>
    <r>
      <rPr>
        <sz val="10"/>
        <rFont val="微软雅黑"/>
        <family val="2"/>
        <charset val="134"/>
      </rPr>
      <t>项目直接成本</t>
    </r>
    <r>
      <rPr>
        <sz val="10"/>
        <rFont val="Arial"/>
        <family val="2"/>
      </rPr>
      <t>-</t>
    </r>
    <r>
      <rPr>
        <sz val="10"/>
        <rFont val="宋体"/>
        <family val="2"/>
        <charset val="134"/>
      </rPr>
      <t>服务费</t>
    </r>
    <r>
      <rPr>
        <sz val="10"/>
        <rFont val="Arial"/>
        <family val="2"/>
      </rPr>
      <t>-</t>
    </r>
    <r>
      <rPr>
        <sz val="10"/>
        <rFont val="微软雅黑"/>
        <family val="2"/>
        <charset val="134"/>
      </rPr>
      <t>自有固控服务</t>
    </r>
    <phoneticPr fontId="6" type="noConversion"/>
  </si>
  <si>
    <r>
      <rPr>
        <sz val="10"/>
        <rFont val="微软雅黑"/>
        <family val="2"/>
        <charset val="134"/>
      </rPr>
      <t>项目直接成本</t>
    </r>
    <r>
      <rPr>
        <sz val="10"/>
        <rFont val="Arial"/>
        <family val="2"/>
      </rPr>
      <t>-</t>
    </r>
    <r>
      <rPr>
        <sz val="10"/>
        <rFont val="微软雅黑"/>
        <family val="2"/>
        <charset val="134"/>
      </rPr>
      <t>材料费</t>
    </r>
    <r>
      <rPr>
        <sz val="10"/>
        <rFont val="Arial"/>
        <family val="2"/>
      </rPr>
      <t>-</t>
    </r>
    <r>
      <rPr>
        <sz val="10"/>
        <rFont val="宋体"/>
        <family val="2"/>
        <charset val="134"/>
      </rPr>
      <t>套管</t>
    </r>
    <phoneticPr fontId="6" type="noConversion"/>
  </si>
  <si>
    <r>
      <rPr>
        <sz val="10"/>
        <rFont val="微软雅黑"/>
        <family val="2"/>
        <charset val="134"/>
      </rPr>
      <t>项目直接成本</t>
    </r>
    <r>
      <rPr>
        <sz val="10"/>
        <rFont val="Arial"/>
        <family val="2"/>
      </rPr>
      <t>-</t>
    </r>
    <r>
      <rPr>
        <sz val="10"/>
        <rFont val="宋体"/>
        <family val="2"/>
        <charset val="134"/>
      </rPr>
      <t>服务费</t>
    </r>
    <r>
      <rPr>
        <sz val="10"/>
        <rFont val="Arial"/>
        <family val="2"/>
      </rPr>
      <t>-</t>
    </r>
    <r>
      <rPr>
        <sz val="10"/>
        <rFont val="微软雅黑"/>
        <family val="2"/>
        <charset val="134"/>
      </rPr>
      <t>录井服务</t>
    </r>
    <phoneticPr fontId="6" type="noConversion"/>
  </si>
  <si>
    <r>
      <rPr>
        <sz val="10"/>
        <rFont val="微软雅黑"/>
        <family val="2"/>
        <charset val="134"/>
      </rPr>
      <t>项目直接成本</t>
    </r>
    <r>
      <rPr>
        <sz val="10"/>
        <rFont val="Arial"/>
        <family val="2"/>
      </rPr>
      <t>-</t>
    </r>
    <r>
      <rPr>
        <sz val="10"/>
        <rFont val="宋体"/>
        <family val="2"/>
        <charset val="134"/>
      </rPr>
      <t>服务费</t>
    </r>
    <r>
      <rPr>
        <sz val="10"/>
        <rFont val="Arial"/>
        <family val="2"/>
      </rPr>
      <t>-</t>
    </r>
    <r>
      <rPr>
        <sz val="10"/>
        <rFont val="宋体"/>
        <family val="2"/>
        <charset val="134"/>
      </rPr>
      <t>测井</t>
    </r>
    <r>
      <rPr>
        <sz val="10"/>
        <rFont val="微软雅黑"/>
        <family val="2"/>
        <charset val="134"/>
      </rPr>
      <t>服务</t>
    </r>
    <phoneticPr fontId="6" type="noConversion"/>
  </si>
  <si>
    <r>
      <rPr>
        <sz val="10"/>
        <rFont val="微软雅黑"/>
        <family val="2"/>
        <charset val="134"/>
      </rPr>
      <t>项目直接成本</t>
    </r>
    <r>
      <rPr>
        <sz val="10"/>
        <rFont val="Arial"/>
        <family val="2"/>
      </rPr>
      <t>-</t>
    </r>
    <r>
      <rPr>
        <sz val="10"/>
        <rFont val="宋体"/>
        <family val="2"/>
        <charset val="134"/>
      </rPr>
      <t>服务费</t>
    </r>
    <r>
      <rPr>
        <sz val="10"/>
        <rFont val="Arial"/>
        <family val="2"/>
      </rPr>
      <t>-</t>
    </r>
    <r>
      <rPr>
        <sz val="10"/>
        <rFont val="微软雅黑"/>
        <family val="2"/>
        <charset val="134"/>
      </rPr>
      <t>定向服务</t>
    </r>
    <phoneticPr fontId="6" type="noConversion"/>
  </si>
  <si>
    <r>
      <rPr>
        <sz val="10"/>
        <rFont val="微软雅黑"/>
        <family val="2"/>
        <charset val="134"/>
      </rPr>
      <t>项目直接成本</t>
    </r>
    <r>
      <rPr>
        <sz val="10"/>
        <rFont val="Arial"/>
        <family val="2"/>
      </rPr>
      <t>-</t>
    </r>
    <r>
      <rPr>
        <sz val="10"/>
        <rFont val="宋体"/>
        <family val="2"/>
        <charset val="134"/>
      </rPr>
      <t>服务费</t>
    </r>
    <r>
      <rPr>
        <sz val="10"/>
        <rFont val="Arial"/>
        <family val="2"/>
      </rPr>
      <t>-</t>
    </r>
    <r>
      <rPr>
        <sz val="10"/>
        <rFont val="微软雅黑"/>
        <family val="2"/>
        <charset val="134"/>
      </rPr>
      <t>岩屑处理服务</t>
    </r>
    <phoneticPr fontId="6" type="noConversion"/>
  </si>
  <si>
    <r>
      <rPr>
        <sz val="10"/>
        <rFont val="微软雅黑"/>
        <family val="2"/>
        <charset val="134"/>
      </rPr>
      <t>项目直接成本</t>
    </r>
    <r>
      <rPr>
        <sz val="10"/>
        <rFont val="Arial"/>
        <family val="2"/>
      </rPr>
      <t>-</t>
    </r>
    <r>
      <rPr>
        <sz val="10"/>
        <rFont val="宋体"/>
        <family val="2"/>
        <charset val="134"/>
      </rPr>
      <t>服务费</t>
    </r>
    <r>
      <rPr>
        <sz val="10"/>
        <rFont val="Arial"/>
        <family val="2"/>
      </rPr>
      <t>-</t>
    </r>
    <r>
      <rPr>
        <sz val="10"/>
        <rFont val="宋体"/>
        <family val="2"/>
        <charset val="134"/>
      </rPr>
      <t>钻头</t>
    </r>
    <r>
      <rPr>
        <sz val="10"/>
        <rFont val="微软雅黑"/>
        <family val="2"/>
        <charset val="134"/>
      </rPr>
      <t>服务</t>
    </r>
    <phoneticPr fontId="6" type="noConversion"/>
  </si>
  <si>
    <r>
      <rPr>
        <sz val="10"/>
        <rFont val="微软雅黑"/>
        <family val="2"/>
        <charset val="134"/>
      </rPr>
      <t>项目直接成本</t>
    </r>
    <r>
      <rPr>
        <sz val="10"/>
        <rFont val="Arial"/>
        <family val="2"/>
      </rPr>
      <t>-</t>
    </r>
    <r>
      <rPr>
        <sz val="10"/>
        <rFont val="宋体"/>
        <family val="2"/>
        <charset val="134"/>
      </rPr>
      <t>服务费</t>
    </r>
    <r>
      <rPr>
        <sz val="10"/>
        <rFont val="Arial"/>
        <family val="2"/>
      </rPr>
      <t>-</t>
    </r>
    <r>
      <rPr>
        <sz val="10"/>
        <rFont val="微软雅黑"/>
        <family val="2"/>
        <charset val="134"/>
      </rPr>
      <t>其余</t>
    </r>
    <phoneticPr fontId="6" type="noConversion"/>
  </si>
  <si>
    <r>
      <rPr>
        <sz val="10"/>
        <rFont val="微软雅黑"/>
        <family val="2"/>
        <charset val="134"/>
      </rPr>
      <t>项目直接成本</t>
    </r>
    <r>
      <rPr>
        <sz val="10"/>
        <rFont val="Arial"/>
        <family val="2"/>
      </rPr>
      <t>-</t>
    </r>
    <r>
      <rPr>
        <sz val="10"/>
        <rFont val="宋体"/>
        <family val="2"/>
        <charset val="134"/>
      </rPr>
      <t>服务费</t>
    </r>
    <r>
      <rPr>
        <sz val="10"/>
        <rFont val="Arial"/>
        <family val="2"/>
      </rPr>
      <t>-</t>
    </r>
    <r>
      <rPr>
        <sz val="10"/>
        <rFont val="宋体"/>
        <family val="2"/>
        <charset val="134"/>
      </rPr>
      <t>钻机日费</t>
    </r>
    <r>
      <rPr>
        <sz val="10"/>
        <rFont val="Arial"/>
        <family val="2"/>
        <charset val="134"/>
      </rPr>
      <t>(</t>
    </r>
    <r>
      <rPr>
        <sz val="10"/>
        <rFont val="宋体"/>
        <family val="2"/>
        <charset val="134"/>
      </rPr>
      <t>钻井）</t>
    </r>
    <phoneticPr fontId="6" type="noConversion"/>
  </si>
  <si>
    <r>
      <rPr>
        <sz val="10"/>
        <rFont val="微软雅黑"/>
        <family val="2"/>
        <charset val="134"/>
      </rPr>
      <t>项目直接成本</t>
    </r>
    <r>
      <rPr>
        <sz val="10"/>
        <rFont val="Arial"/>
        <family val="2"/>
      </rPr>
      <t>-</t>
    </r>
    <r>
      <rPr>
        <sz val="10"/>
        <rFont val="宋体"/>
        <family val="2"/>
        <charset val="134"/>
      </rPr>
      <t>服务费</t>
    </r>
    <r>
      <rPr>
        <sz val="10"/>
        <rFont val="Arial"/>
        <family val="2"/>
      </rPr>
      <t>-</t>
    </r>
    <r>
      <rPr>
        <sz val="10"/>
        <rFont val="宋体"/>
        <family val="2"/>
        <charset val="134"/>
      </rPr>
      <t>钻机日费（万井）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</si>
</sst>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"/>
      <charset val="134"/>
    </font>
    <font>
      <sz val="10"/>
      <name val="等线"/>
      <charset val="134"/>
    </font>
    <font>
      <sz val="10"/>
      <name val="宋体"/>
      <charset val="134"/>
    </font>
    <font>
      <sz val="10"/>
      <color rgb="FF000000"/>
      <name val="方正仿宋简体"/>
      <charset val="134"/>
    </font>
    <font>
      <sz val="10"/>
      <name val="微软雅黑"/>
      <family val="2"/>
      <charset val="134"/>
    </font>
    <font>
      <sz val="10"/>
      <name val="Arial"/>
      <family val="2"/>
    </font>
    <font>
      <sz val="9"/>
      <name val="Arial"/>
      <family val="2"/>
    </font>
    <font>
      <sz val="10"/>
      <name val="宋体"/>
      <family val="3"/>
      <charset val="134"/>
    </font>
    <font>
      <sz val="10"/>
      <name val="Arial"/>
      <family val="2"/>
      <charset val="134"/>
    </font>
    <font>
      <sz val="10"/>
      <name val="宋体"/>
      <family val="2"/>
      <charset val="134"/>
    </font>
    <font>
      <sz val="10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2" fillId="0" borderId="2" xfId="0" applyFont="1" applyBorder="1" applyAlignment="1">
      <alignment vertical="top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0" fillId="0" borderId="2" xfId="0" applyBorder="1" applyAlignment="1">
      <alignment vertical="top"/>
    </xf>
    <xf numFmtId="0" fontId="10" fillId="0" borderId="2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7" fillId="2" borderId="2" xfId="0" applyFont="1" applyFill="1" applyBorder="1" applyAlignment="1">
      <alignment vertical="top"/>
    </xf>
    <xf numFmtId="0" fontId="8" fillId="2" borderId="2" xfId="0" applyFont="1" applyFill="1" applyBorder="1" applyAlignment="1">
      <alignment vertical="top"/>
    </xf>
    <xf numFmtId="0" fontId="0" fillId="2" borderId="2" xfId="0" applyFill="1" applyBorder="1" applyAlignment="1">
      <alignment vertical="top"/>
    </xf>
    <xf numFmtId="0" fontId="5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3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top"/>
    </xf>
    <xf numFmtId="0" fontId="0" fillId="2" borderId="0" xfId="0" applyFill="1" applyAlignment="1">
      <alignment vertical="center"/>
    </xf>
    <xf numFmtId="0" fontId="0" fillId="2" borderId="2" xfId="0" applyFill="1" applyBorder="1" applyAlignment="1">
      <alignment vertical="center"/>
    </xf>
    <xf numFmtId="0" fontId="10" fillId="2" borderId="2" xfId="0" applyFont="1" applyFill="1" applyBorder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workbookViewId="0">
      <selection activeCell="E16" sqref="E16"/>
    </sheetView>
  </sheetViews>
  <sheetFormatPr defaultColWidth="9" defaultRowHeight="12.75"/>
  <cols>
    <col min="1" max="1" width="21" customWidth="1"/>
    <col min="2" max="2" width="18" customWidth="1"/>
    <col min="3" max="3" width="21" customWidth="1"/>
    <col min="4" max="4" width="32.28515625" customWidth="1"/>
    <col min="5" max="5" width="28.42578125" customWidth="1"/>
    <col min="6" max="6" width="14.85546875" customWidth="1"/>
    <col min="7" max="7" width="12.42578125" customWidth="1"/>
    <col min="8" max="8" width="9.28515625" bestFit="1" customWidth="1"/>
  </cols>
  <sheetData>
    <row r="1" spans="1:10" ht="16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5" t="s">
        <v>9</v>
      </c>
    </row>
    <row r="2" spans="1:10" ht="16.5">
      <c r="A2" s="15" t="s">
        <v>10</v>
      </c>
      <c r="B2" s="8" t="s">
        <v>16</v>
      </c>
      <c r="C2" s="9" t="s">
        <v>17</v>
      </c>
      <c r="D2" s="10" t="s">
        <v>28</v>
      </c>
      <c r="E2" s="11" t="s">
        <v>12</v>
      </c>
      <c r="F2" s="9" t="s">
        <v>20</v>
      </c>
      <c r="G2" s="12">
        <v>148947</v>
      </c>
      <c r="H2" s="11">
        <v>1.33</v>
      </c>
      <c r="I2" s="11">
        <f>G2*H2</f>
        <v>198099.51</v>
      </c>
      <c r="J2" s="11">
        <v>0</v>
      </c>
    </row>
    <row r="3" spans="1:10" ht="16.5">
      <c r="A3" s="15" t="s">
        <v>10</v>
      </c>
      <c r="B3" s="11" t="s">
        <v>15</v>
      </c>
      <c r="C3" s="10" t="s">
        <v>24</v>
      </c>
      <c r="D3" s="10" t="s">
        <v>25</v>
      </c>
      <c r="E3" s="9" t="s">
        <v>26</v>
      </c>
      <c r="F3" s="9" t="s">
        <v>19</v>
      </c>
      <c r="G3" s="11">
        <v>1234.6199999999999</v>
      </c>
      <c r="H3" s="11">
        <v>44</v>
      </c>
      <c r="I3" s="11">
        <f t="shared" ref="I3" si="0">G3*H3</f>
        <v>54323.28</v>
      </c>
      <c r="J3" s="11">
        <v>0</v>
      </c>
    </row>
    <row r="4" spans="1:10" ht="16.5">
      <c r="A4" s="15" t="s">
        <v>10</v>
      </c>
      <c r="B4" s="11" t="s">
        <v>11</v>
      </c>
      <c r="C4" s="13" t="s">
        <v>13</v>
      </c>
      <c r="D4" s="10" t="s">
        <v>29</v>
      </c>
      <c r="E4" s="9" t="s">
        <v>30</v>
      </c>
      <c r="F4" s="9" t="s">
        <v>20</v>
      </c>
      <c r="G4" s="11">
        <v>33609</v>
      </c>
      <c r="H4" s="11">
        <v>1.33</v>
      </c>
      <c r="I4" s="11">
        <f>G4*H4</f>
        <v>44699.97</v>
      </c>
      <c r="J4" s="11">
        <v>0</v>
      </c>
    </row>
    <row r="5" spans="1:10" ht="16.5">
      <c r="A5" s="15" t="s">
        <v>10</v>
      </c>
      <c r="B5" s="11" t="s">
        <v>11</v>
      </c>
      <c r="C5" s="13" t="s">
        <v>13</v>
      </c>
      <c r="D5" s="10" t="s">
        <v>31</v>
      </c>
      <c r="E5" s="9"/>
      <c r="F5" s="9" t="s">
        <v>18</v>
      </c>
      <c r="G5" s="11">
        <v>7.6</v>
      </c>
      <c r="H5" s="11">
        <v>4948</v>
      </c>
      <c r="I5" s="11">
        <f>G5*H5</f>
        <v>37604.799999999996</v>
      </c>
      <c r="J5" s="11">
        <v>0</v>
      </c>
    </row>
    <row r="6" spans="1:10" ht="16.5">
      <c r="A6" s="15" t="s">
        <v>10</v>
      </c>
      <c r="B6" s="11" t="s">
        <v>11</v>
      </c>
      <c r="C6" s="13" t="s">
        <v>13</v>
      </c>
      <c r="D6" s="10" t="s">
        <v>32</v>
      </c>
      <c r="E6" s="9"/>
      <c r="F6" s="9" t="s">
        <v>18</v>
      </c>
      <c r="G6" s="11">
        <v>1</v>
      </c>
      <c r="H6" s="11">
        <v>22900</v>
      </c>
      <c r="I6" s="11">
        <f t="shared" ref="I6:I7" si="1">G6*H6</f>
        <v>22900</v>
      </c>
      <c r="J6" s="11">
        <v>0</v>
      </c>
    </row>
    <row r="7" spans="1:10" ht="16.5">
      <c r="A7" s="15" t="s">
        <v>10</v>
      </c>
      <c r="B7" s="11" t="s">
        <v>11</v>
      </c>
      <c r="C7" s="13" t="s">
        <v>13</v>
      </c>
      <c r="D7" s="10" t="s">
        <v>33</v>
      </c>
      <c r="E7" s="9" t="s">
        <v>34</v>
      </c>
      <c r="F7" s="9" t="s">
        <v>19</v>
      </c>
      <c r="G7" s="11">
        <v>16</v>
      </c>
      <c r="H7" s="11">
        <v>157.19999999999999</v>
      </c>
      <c r="I7" s="11">
        <f t="shared" si="1"/>
        <v>2515.1999999999998</v>
      </c>
      <c r="J7" s="11">
        <v>0</v>
      </c>
    </row>
    <row r="8" spans="1:10" ht="16.5">
      <c r="A8" s="15" t="s">
        <v>10</v>
      </c>
      <c r="B8" s="11" t="s">
        <v>11</v>
      </c>
      <c r="C8" s="13" t="s">
        <v>14</v>
      </c>
      <c r="D8" s="10" t="s">
        <v>35</v>
      </c>
      <c r="E8" s="9"/>
      <c r="F8" s="9" t="s">
        <v>18</v>
      </c>
      <c r="G8" s="11">
        <v>1</v>
      </c>
      <c r="H8" s="11">
        <v>8500</v>
      </c>
      <c r="I8" s="11">
        <v>8500</v>
      </c>
      <c r="J8" s="11">
        <v>0</v>
      </c>
    </row>
    <row r="9" spans="1:10" ht="16.5">
      <c r="A9" s="15" t="s">
        <v>10</v>
      </c>
      <c r="B9" s="11" t="s">
        <v>11</v>
      </c>
      <c r="C9" s="13" t="s">
        <v>13</v>
      </c>
      <c r="D9" s="10" t="s">
        <v>21</v>
      </c>
      <c r="E9" s="9" t="s">
        <v>36</v>
      </c>
      <c r="F9" s="9" t="s">
        <v>20</v>
      </c>
      <c r="G9" s="11">
        <v>3900</v>
      </c>
      <c r="H9" s="11">
        <v>1</v>
      </c>
      <c r="I9" s="11">
        <f t="shared" ref="I8:I11" si="2">G9*H9</f>
        <v>3900</v>
      </c>
      <c r="J9" s="11">
        <v>0</v>
      </c>
    </row>
    <row r="10" spans="1:10" ht="16.5">
      <c r="A10" s="15" t="s">
        <v>10</v>
      </c>
      <c r="B10" s="11" t="s">
        <v>11</v>
      </c>
      <c r="C10" s="13" t="s">
        <v>14</v>
      </c>
      <c r="D10" s="10" t="s">
        <v>37</v>
      </c>
      <c r="E10" s="9"/>
      <c r="F10" s="9" t="s">
        <v>19</v>
      </c>
      <c r="G10" s="14">
        <v>2.46</v>
      </c>
      <c r="H10" s="11">
        <v>6550</v>
      </c>
      <c r="I10" s="11">
        <f t="shared" si="2"/>
        <v>16113</v>
      </c>
      <c r="J10" s="11">
        <v>0</v>
      </c>
    </row>
    <row r="11" spans="1:10" ht="16.5">
      <c r="A11" s="15" t="s">
        <v>10</v>
      </c>
      <c r="B11" s="11" t="s">
        <v>11</v>
      </c>
      <c r="C11" s="13" t="s">
        <v>13</v>
      </c>
      <c r="D11" s="10" t="s">
        <v>23</v>
      </c>
      <c r="E11" s="9" t="s">
        <v>22</v>
      </c>
      <c r="F11" s="9" t="s">
        <v>18</v>
      </c>
      <c r="G11" s="11">
        <v>1458000</v>
      </c>
      <c r="H11" s="11">
        <v>1</v>
      </c>
      <c r="I11" s="11">
        <f t="shared" si="2"/>
        <v>1458000</v>
      </c>
      <c r="J11" s="11">
        <v>1600000</v>
      </c>
    </row>
    <row r="12" spans="1:10" ht="16.5">
      <c r="A12" s="15" t="s">
        <v>10</v>
      </c>
      <c r="B12" s="11" t="s">
        <v>11</v>
      </c>
      <c r="C12" s="8" t="s">
        <v>38</v>
      </c>
      <c r="D12" s="10" t="s">
        <v>39</v>
      </c>
      <c r="E12" s="9"/>
      <c r="F12" s="9" t="s">
        <v>18</v>
      </c>
      <c r="G12" s="14">
        <v>139400</v>
      </c>
      <c r="H12" s="11">
        <v>1</v>
      </c>
      <c r="I12" s="11">
        <f t="shared" ref="I12:I13" si="3">G12*H12</f>
        <v>139400</v>
      </c>
      <c r="J12" s="11">
        <v>0</v>
      </c>
    </row>
    <row r="13" spans="1:10" ht="16.5">
      <c r="A13" s="15" t="s">
        <v>27</v>
      </c>
      <c r="B13" s="8" t="s">
        <v>16</v>
      </c>
      <c r="C13" s="9" t="s">
        <v>17</v>
      </c>
      <c r="D13" s="10" t="s">
        <v>28</v>
      </c>
      <c r="E13" s="11" t="s">
        <v>12</v>
      </c>
      <c r="F13" s="9" t="s">
        <v>19</v>
      </c>
      <c r="G13" s="16">
        <v>5474</v>
      </c>
      <c r="H13" s="11">
        <v>28</v>
      </c>
      <c r="I13" s="11">
        <f t="shared" si="3"/>
        <v>153272</v>
      </c>
      <c r="J13" s="11">
        <v>0</v>
      </c>
    </row>
    <row r="14" spans="1:10" ht="16.5">
      <c r="A14" s="15" t="s">
        <v>27</v>
      </c>
      <c r="B14" s="11" t="s">
        <v>15</v>
      </c>
      <c r="C14" s="10" t="s">
        <v>24</v>
      </c>
      <c r="D14" s="10" t="s">
        <v>25</v>
      </c>
      <c r="E14" s="9" t="s">
        <v>26</v>
      </c>
      <c r="F14" s="9" t="s">
        <v>19</v>
      </c>
      <c r="G14" s="11">
        <v>940</v>
      </c>
      <c r="H14" s="11">
        <v>28</v>
      </c>
      <c r="I14" s="17">
        <f>G14*H14</f>
        <v>26320</v>
      </c>
      <c r="J14" s="11">
        <v>0</v>
      </c>
    </row>
    <row r="15" spans="1:10" ht="16.5">
      <c r="A15" s="15" t="s">
        <v>27</v>
      </c>
      <c r="B15" s="11" t="s">
        <v>11</v>
      </c>
      <c r="C15" s="13" t="s">
        <v>13</v>
      </c>
      <c r="D15" s="10" t="s">
        <v>29</v>
      </c>
      <c r="E15" s="9" t="s">
        <v>30</v>
      </c>
      <c r="F15" s="9" t="s">
        <v>19</v>
      </c>
      <c r="G15" s="11">
        <v>3118</v>
      </c>
      <c r="H15" s="11">
        <v>28</v>
      </c>
      <c r="I15" s="17">
        <f>G15*H15</f>
        <v>87304</v>
      </c>
      <c r="J15" s="11">
        <v>0</v>
      </c>
    </row>
    <row r="16" spans="1:10" ht="16.5">
      <c r="A16" s="15" t="s">
        <v>27</v>
      </c>
      <c r="B16" s="11" t="s">
        <v>11</v>
      </c>
      <c r="C16" s="13" t="s">
        <v>13</v>
      </c>
      <c r="D16" s="10" t="s">
        <v>31</v>
      </c>
      <c r="E16" s="9"/>
      <c r="F16" s="9" t="s">
        <v>18</v>
      </c>
      <c r="G16" s="11">
        <v>7.6</v>
      </c>
      <c r="H16" s="11">
        <v>9698</v>
      </c>
      <c r="I16" s="17">
        <f>G16*H16</f>
        <v>73704.800000000003</v>
      </c>
      <c r="J16" s="11">
        <v>0</v>
      </c>
    </row>
    <row r="17" spans="1:10" ht="16.5">
      <c r="A17" s="15" t="s">
        <v>27</v>
      </c>
      <c r="B17" s="11" t="s">
        <v>11</v>
      </c>
      <c r="C17" s="13" t="s">
        <v>13</v>
      </c>
      <c r="D17" s="10" t="s">
        <v>32</v>
      </c>
      <c r="E17" s="9"/>
      <c r="F17" s="9" t="s">
        <v>18</v>
      </c>
      <c r="G17" s="11">
        <v>1</v>
      </c>
      <c r="H17" s="11">
        <v>0</v>
      </c>
      <c r="I17" s="11">
        <f t="shared" ref="I17:I20" si="4">G17*H17</f>
        <v>0</v>
      </c>
      <c r="J17" s="11">
        <v>0</v>
      </c>
    </row>
    <row r="18" spans="1:10" ht="16.5">
      <c r="A18" s="15" t="s">
        <v>27</v>
      </c>
      <c r="B18" s="11" t="s">
        <v>11</v>
      </c>
      <c r="C18" s="13" t="s">
        <v>13</v>
      </c>
      <c r="D18" s="10" t="s">
        <v>33</v>
      </c>
      <c r="E18" s="9" t="s">
        <v>34</v>
      </c>
      <c r="F18" s="9" t="s">
        <v>19</v>
      </c>
      <c r="G18" s="11">
        <v>28</v>
      </c>
      <c r="H18" s="12">
        <v>157.19999999999999</v>
      </c>
      <c r="I18" s="11">
        <f t="shared" si="4"/>
        <v>4401.5999999999995</v>
      </c>
      <c r="J18" s="11">
        <v>0</v>
      </c>
    </row>
    <row r="19" spans="1:10" ht="16.5">
      <c r="A19" s="15" t="s">
        <v>27</v>
      </c>
      <c r="B19" s="11" t="s">
        <v>11</v>
      </c>
      <c r="C19" s="13" t="s">
        <v>14</v>
      </c>
      <c r="D19" s="10" t="s">
        <v>40</v>
      </c>
      <c r="E19" s="9"/>
      <c r="F19" s="9" t="s">
        <v>19</v>
      </c>
      <c r="G19" s="11">
        <v>28</v>
      </c>
      <c r="H19" s="11">
        <v>1632</v>
      </c>
      <c r="I19" s="11">
        <f t="shared" si="4"/>
        <v>45696</v>
      </c>
      <c r="J19" s="11">
        <v>0</v>
      </c>
    </row>
    <row r="20" spans="1:10" ht="16.5">
      <c r="A20" s="15" t="s">
        <v>27</v>
      </c>
      <c r="B20" s="11" t="s">
        <v>11</v>
      </c>
      <c r="C20" s="13" t="s">
        <v>13</v>
      </c>
      <c r="D20" s="10" t="s">
        <v>21</v>
      </c>
      <c r="E20" s="9" t="s">
        <v>36</v>
      </c>
      <c r="F20" s="9" t="s">
        <v>20</v>
      </c>
      <c r="G20" s="11">
        <v>2410.6999999999998</v>
      </c>
      <c r="H20" s="11">
        <v>28</v>
      </c>
      <c r="I20" s="11">
        <f t="shared" si="4"/>
        <v>67499.599999999991</v>
      </c>
      <c r="J20" s="11">
        <v>0</v>
      </c>
    </row>
    <row r="21" spans="1:10" ht="16.5">
      <c r="A21" s="18" t="s">
        <v>27</v>
      </c>
      <c r="B21" s="11" t="s">
        <v>11</v>
      </c>
      <c r="C21" s="13" t="s">
        <v>14</v>
      </c>
      <c r="D21" s="10" t="s">
        <v>37</v>
      </c>
      <c r="E21" s="9" t="s">
        <v>41</v>
      </c>
      <c r="F21" s="9" t="s">
        <v>19</v>
      </c>
      <c r="G21" s="11">
        <v>2.46</v>
      </c>
      <c r="H21" s="11">
        <f>I21/G21</f>
        <v>47073.170731707316</v>
      </c>
      <c r="I21" s="11">
        <v>115800</v>
      </c>
      <c r="J21" s="11">
        <v>115800</v>
      </c>
    </row>
    <row r="22" spans="1:10" ht="16.5">
      <c r="A22" s="15" t="s">
        <v>27</v>
      </c>
      <c r="B22" s="11" t="s">
        <v>11</v>
      </c>
      <c r="C22" s="13" t="s">
        <v>13</v>
      </c>
      <c r="D22" s="10" t="s">
        <v>42</v>
      </c>
      <c r="E22" s="9"/>
      <c r="F22" s="9" t="s">
        <v>20</v>
      </c>
      <c r="G22" s="11">
        <v>5000</v>
      </c>
      <c r="H22" s="11">
        <v>1</v>
      </c>
      <c r="I22" s="11">
        <f t="shared" ref="I22:I23" si="5">G22*H22</f>
        <v>5000</v>
      </c>
      <c r="J22" s="11">
        <v>0</v>
      </c>
    </row>
    <row r="23" spans="1:10" ht="16.5">
      <c r="A23" s="18" t="s">
        <v>27</v>
      </c>
      <c r="B23" s="11" t="s">
        <v>11</v>
      </c>
      <c r="C23" s="8" t="s">
        <v>38</v>
      </c>
      <c r="D23" s="10" t="s">
        <v>39</v>
      </c>
      <c r="E23" s="9"/>
      <c r="F23" s="9" t="s">
        <v>18</v>
      </c>
      <c r="G23" s="11">
        <v>269956.40000000002</v>
      </c>
      <c r="H23" s="11">
        <v>1</v>
      </c>
      <c r="I23" s="11">
        <f t="shared" si="5"/>
        <v>269956.40000000002</v>
      </c>
      <c r="J23" s="11">
        <v>0</v>
      </c>
    </row>
    <row r="24" spans="1:10" ht="16.5">
      <c r="A24" s="15" t="s">
        <v>27</v>
      </c>
      <c r="B24" s="11" t="s">
        <v>11</v>
      </c>
      <c r="C24" s="13" t="s">
        <v>13</v>
      </c>
      <c r="D24" s="10" t="s">
        <v>45</v>
      </c>
      <c r="E24" s="13"/>
      <c r="F24" s="9" t="s">
        <v>43</v>
      </c>
      <c r="G24" s="11">
        <v>276100</v>
      </c>
      <c r="H24" s="11">
        <v>1</v>
      </c>
      <c r="I24" s="11">
        <f t="shared" ref="I24:I36" si="6">G24*H24</f>
        <v>276100</v>
      </c>
      <c r="J24" s="11">
        <v>425500</v>
      </c>
    </row>
    <row r="25" spans="1:10" ht="16.5">
      <c r="A25" s="18" t="s">
        <v>27</v>
      </c>
      <c r="B25" s="11" t="s">
        <v>11</v>
      </c>
      <c r="C25" s="13" t="s">
        <v>13</v>
      </c>
      <c r="D25" s="10" t="s">
        <v>44</v>
      </c>
      <c r="E25" s="13"/>
      <c r="F25" s="9" t="s">
        <v>43</v>
      </c>
      <c r="G25" s="11">
        <v>197500</v>
      </c>
      <c r="H25" s="11">
        <v>1</v>
      </c>
      <c r="I25" s="11">
        <f t="shared" si="6"/>
        <v>197500</v>
      </c>
      <c r="J25" s="11">
        <v>207600</v>
      </c>
    </row>
    <row r="26" spans="1:10" ht="16.5">
      <c r="A26" s="15" t="s">
        <v>27</v>
      </c>
      <c r="B26" s="11" t="s">
        <v>15</v>
      </c>
      <c r="C26" s="13" t="s">
        <v>13</v>
      </c>
      <c r="D26" s="10" t="s">
        <v>46</v>
      </c>
      <c r="E26" s="11" t="s">
        <v>12</v>
      </c>
      <c r="F26" s="8" t="s">
        <v>43</v>
      </c>
      <c r="G26" s="11">
        <v>94800</v>
      </c>
      <c r="H26" s="11">
        <v>1</v>
      </c>
      <c r="I26" s="11">
        <f t="shared" si="6"/>
        <v>94800</v>
      </c>
      <c r="J26" s="11">
        <v>12000</v>
      </c>
    </row>
    <row r="27" spans="1:10" ht="16.5">
      <c r="A27" s="18" t="s">
        <v>27</v>
      </c>
      <c r="B27" s="11" t="s">
        <v>15</v>
      </c>
      <c r="C27" s="13" t="s">
        <v>14</v>
      </c>
      <c r="D27" s="10" t="s">
        <v>47</v>
      </c>
      <c r="E27" s="11" t="s">
        <v>12</v>
      </c>
      <c r="F27" s="8" t="s">
        <v>43</v>
      </c>
      <c r="G27" s="11">
        <v>435400</v>
      </c>
      <c r="H27" s="11">
        <v>1</v>
      </c>
      <c r="I27" s="11">
        <f t="shared" si="6"/>
        <v>435400</v>
      </c>
      <c r="J27" s="11">
        <v>537500</v>
      </c>
    </row>
    <row r="28" spans="1:10" ht="16.5">
      <c r="A28" s="15" t="s">
        <v>27</v>
      </c>
      <c r="B28" s="11" t="s">
        <v>15</v>
      </c>
      <c r="C28" s="13" t="s">
        <v>13</v>
      </c>
      <c r="D28" s="10" t="s">
        <v>48</v>
      </c>
      <c r="E28" s="11" t="s">
        <v>12</v>
      </c>
      <c r="F28" s="8" t="s">
        <v>43</v>
      </c>
      <c r="G28" s="11">
        <v>50000</v>
      </c>
      <c r="H28" s="11">
        <v>1</v>
      </c>
      <c r="I28" s="11">
        <f t="shared" si="6"/>
        <v>50000</v>
      </c>
      <c r="J28" s="11">
        <v>55000</v>
      </c>
    </row>
    <row r="29" spans="1:10" ht="16.5">
      <c r="A29" s="18" t="s">
        <v>27</v>
      </c>
      <c r="B29" s="11" t="s">
        <v>15</v>
      </c>
      <c r="C29" s="13" t="s">
        <v>13</v>
      </c>
      <c r="D29" s="10" t="s">
        <v>49</v>
      </c>
      <c r="E29" s="11" t="s">
        <v>12</v>
      </c>
      <c r="F29" s="8" t="s">
        <v>43</v>
      </c>
      <c r="G29" s="11">
        <v>170000</v>
      </c>
      <c r="H29" s="11">
        <v>1</v>
      </c>
      <c r="I29" s="11">
        <f t="shared" ref="I29:I33" si="7">G29*H29</f>
        <v>170000</v>
      </c>
      <c r="J29" s="11">
        <v>245000</v>
      </c>
    </row>
    <row r="30" spans="1:10" ht="16.5">
      <c r="A30" s="18" t="s">
        <v>27</v>
      </c>
      <c r="B30" s="11" t="s">
        <v>15</v>
      </c>
      <c r="C30" s="13" t="s">
        <v>13</v>
      </c>
      <c r="D30" s="10" t="s">
        <v>50</v>
      </c>
      <c r="E30" s="11" t="s">
        <v>12</v>
      </c>
      <c r="F30" s="8" t="s">
        <v>43</v>
      </c>
      <c r="G30" s="11">
        <v>642600</v>
      </c>
      <c r="H30" s="11">
        <v>1</v>
      </c>
      <c r="I30" s="11">
        <f t="shared" si="7"/>
        <v>642600</v>
      </c>
      <c r="J30" s="11">
        <v>609400</v>
      </c>
    </row>
    <row r="31" spans="1:10" ht="16.5">
      <c r="A31" s="18" t="s">
        <v>27</v>
      </c>
      <c r="B31" s="11" t="s">
        <v>15</v>
      </c>
      <c r="C31" s="13" t="s">
        <v>13</v>
      </c>
      <c r="D31" s="10" t="s">
        <v>51</v>
      </c>
      <c r="E31" s="11" t="s">
        <v>12</v>
      </c>
      <c r="F31" s="8" t="s">
        <v>43</v>
      </c>
      <c r="G31" s="11">
        <v>374500</v>
      </c>
      <c r="H31" s="11">
        <v>1</v>
      </c>
      <c r="I31" s="11">
        <f t="shared" si="7"/>
        <v>374500</v>
      </c>
      <c r="J31" s="11">
        <v>414700</v>
      </c>
    </row>
    <row r="32" spans="1:10" ht="16.5">
      <c r="A32" s="18" t="s">
        <v>27</v>
      </c>
      <c r="B32" s="11" t="s">
        <v>15</v>
      </c>
      <c r="C32" s="13" t="s">
        <v>13</v>
      </c>
      <c r="D32" s="10" t="s">
        <v>52</v>
      </c>
      <c r="E32" s="11" t="s">
        <v>12</v>
      </c>
      <c r="F32" s="8" t="s">
        <v>43</v>
      </c>
      <c r="G32" s="11">
        <v>51000</v>
      </c>
      <c r="H32" s="11">
        <v>1</v>
      </c>
      <c r="I32" s="11">
        <f t="shared" si="7"/>
        <v>51000</v>
      </c>
      <c r="J32" s="11">
        <v>70000</v>
      </c>
    </row>
    <row r="33" spans="1:10" ht="16.5">
      <c r="A33" s="18" t="s">
        <v>27</v>
      </c>
      <c r="B33" s="11" t="s">
        <v>15</v>
      </c>
      <c r="C33" s="13" t="s">
        <v>13</v>
      </c>
      <c r="D33" s="10" t="s">
        <v>53</v>
      </c>
      <c r="E33" s="11" t="s">
        <v>12</v>
      </c>
      <c r="F33" s="8" t="s">
        <v>43</v>
      </c>
      <c r="G33" s="11">
        <v>428000</v>
      </c>
      <c r="H33" s="11">
        <v>1</v>
      </c>
      <c r="I33" s="11">
        <f t="shared" si="7"/>
        <v>428000</v>
      </c>
      <c r="J33" s="11">
        <v>518900</v>
      </c>
    </row>
    <row r="34" spans="1:10" ht="16.5">
      <c r="A34" s="18" t="s">
        <v>27</v>
      </c>
      <c r="B34" s="11" t="s">
        <v>15</v>
      </c>
      <c r="C34" s="13" t="s">
        <v>13</v>
      </c>
      <c r="D34" s="10" t="s">
        <v>54</v>
      </c>
      <c r="E34" s="11" t="s">
        <v>12</v>
      </c>
      <c r="F34" s="8" t="s">
        <v>19</v>
      </c>
      <c r="G34" s="11">
        <v>31000</v>
      </c>
      <c r="H34" s="12">
        <v>19.625</v>
      </c>
      <c r="I34" s="11">
        <v>0</v>
      </c>
      <c r="J34" s="11">
        <v>608400</v>
      </c>
    </row>
    <row r="35" spans="1:10" ht="16.5">
      <c r="A35" s="18" t="s">
        <v>27</v>
      </c>
      <c r="B35" s="11" t="s">
        <v>15</v>
      </c>
      <c r="C35" s="13" t="s">
        <v>13</v>
      </c>
      <c r="D35" s="10" t="s">
        <v>55</v>
      </c>
      <c r="E35" s="11" t="s">
        <v>12</v>
      </c>
      <c r="F35" s="8" t="s">
        <v>19</v>
      </c>
      <c r="G35" s="11">
        <v>29000</v>
      </c>
      <c r="H35" s="12">
        <v>7.2</v>
      </c>
      <c r="I35" s="11">
        <v>0</v>
      </c>
      <c r="J35" s="11">
        <v>208900</v>
      </c>
    </row>
    <row r="36" spans="1:10" ht="16.5">
      <c r="A36" s="7"/>
      <c r="B36" s="6"/>
      <c r="C36" s="13"/>
      <c r="D36" s="10"/>
      <c r="E36" s="6"/>
      <c r="F36" s="8"/>
      <c r="G36" s="11"/>
      <c r="H36" s="11"/>
      <c r="I36" s="6"/>
      <c r="J36" s="6"/>
    </row>
  </sheetData>
  <phoneticPr fontId="6" type="noConversion"/>
  <dataValidations count="2">
    <dataValidation type="list" allowBlank="1" showInputMessage="1" showErrorMessage="1" sqref="A1:A1048576" xr:uid="{00000000-0002-0000-0000-000000000000}">
      <formula1>"钻机动迁,NNKB-009,NNKB-010,NNKB-011,APKA-015,APKA-016,APKA-017,PCCA-040,PCCA-041,PCCA-042"</formula1>
    </dataValidation>
    <dataValidation type="list" allowBlank="1" showInputMessage="1" showErrorMessage="1" sqref="B1:B1048576" xr:uid="{00000000-0002-0000-0000-000001000000}">
      <formula1>"项目直接成本,项目间接成本"</formula1>
    </dataValidation>
  </dataValidation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Duan Xiaojun</cp:lastModifiedBy>
  <cp:revision>1</cp:revision>
  <dcterms:created xsi:type="dcterms:W3CDTF">2025-11-03T00:58:00Z</dcterms:created>
  <dcterms:modified xsi:type="dcterms:W3CDTF">2025-11-06T16:52:15Z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BE10FF2104E947298CFDF7AE88341643_13</vt:lpwstr>
  </property>
  <property fmtid="{D5CDD505-2E9C-101B-9397-08002B2CF9AE}" pid="3" name="KSOProductBuildVer">
    <vt:lpwstr>2052-12.1.0.23542</vt:lpwstr>
  </property>
</Properties>
</file>